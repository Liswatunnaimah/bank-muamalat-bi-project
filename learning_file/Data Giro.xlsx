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<sst xmlns="http://schemas.openxmlformats.org/spreadsheetml/2006/main" count="6" uniqueCount="6">
  <si>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Tabel 1 Dana Pihak Ketiga Bank Muamalat Indonesia: Wadiah - Giro 2017-2019</t>
  </si>
  <si>
    <t>bulan</t>
  </si>
  <si>
    <t>wadiah_giro (juta)</t>
  </si>
  <si>
    <t>desember 2019 x =36</t>
  </si>
  <si>
    <t>januari 2020 x= 37</t>
  </si>
  <si>
    <t>x=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</si>
</sst>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yyyy"/>
    <numFmt numFmtId="165" formatCode="_-[$Rp-421]* #,##0.00_-;_-[$Rp-421]* \-#,##0.00_-;_-[$Rp-421]* &quot;-&quot;??_-;_-@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3" fillId="0" fontId="3" numFmtId="0" xfId="0" applyAlignment="1" applyBorder="1" applyFont="1">
      <alignment readingOrder="0"/>
    </xf>
    <xf borderId="2" fillId="0" fontId="4" numFmtId="164" xfId="0" applyAlignment="1" applyBorder="1" applyFont="1" applyNumberFormat="1">
      <alignment horizontal="right" readingOrder="0" vertical="bottom"/>
    </xf>
    <xf borderId="1" fillId="0" fontId="4" numFmtId="3" xfId="0" applyAlignment="1" applyBorder="1" applyFont="1" applyNumberFormat="1">
      <alignment horizontal="right" vertical="bottom"/>
    </xf>
    <xf borderId="3" fillId="0" fontId="3" numFmtId="0" xfId="0" applyBorder="1" applyFont="1"/>
    <xf borderId="0" fillId="2" fontId="5" numFmtId="0" xfId="0" applyFill="1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5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Sheet1!$A$3:$A$39</c:f>
            </c:numRef>
          </c:xVal>
          <c:yVal>
            <c:numRef>
              <c:f>Sheet1!$B$3:$B$39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305630"/>
        <c:axId val="211579153"/>
      </c:scatterChart>
      <c:valAx>
        <c:axId val="1879305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1579153"/>
      </c:valAx>
      <c:valAx>
        <c:axId val="211579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p-421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3056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55</xdr:row>
      <xdr:rowOff>57150</xdr:rowOff>
    </xdr:from>
    <xdr:ext cx="6238875" cy="3371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25"/>
    <col customWidth="1" min="4" max="4" width="22.25"/>
    <col customWidth="1" min="8" max="8" width="15.13"/>
  </cols>
  <sheetData>
    <row r="1">
      <c r="A1" s="1" t="s">
        <v>0</v>
      </c>
      <c r="B1" s="2"/>
    </row>
    <row r="2">
      <c r="A2" s="3" t="s">
        <v>1</v>
      </c>
      <c r="B2" s="4" t="s">
        <v>2</v>
      </c>
      <c r="C2" s="5"/>
    </row>
    <row r="3">
      <c r="A3" s="6">
        <v>42736.0</v>
      </c>
      <c r="B3" s="7">
        <v>6096577.0</v>
      </c>
      <c r="C3" s="5"/>
    </row>
    <row r="4">
      <c r="A4" s="6">
        <f t="shared" ref="A4:A38" si="1">EDATE(A3,1)</f>
        <v>42767</v>
      </c>
      <c r="B4" s="7">
        <v>6174982.0</v>
      </c>
      <c r="C4" s="8"/>
    </row>
    <row r="5">
      <c r="A5" s="6">
        <f t="shared" si="1"/>
        <v>42795</v>
      </c>
      <c r="B5" s="7">
        <v>7530315.0</v>
      </c>
      <c r="C5" s="8"/>
    </row>
    <row r="6">
      <c r="A6" s="6">
        <f t="shared" si="1"/>
        <v>42826</v>
      </c>
      <c r="B6" s="7">
        <v>1.2453358E7</v>
      </c>
      <c r="C6" s="8"/>
    </row>
    <row r="7">
      <c r="A7" s="6">
        <f t="shared" si="1"/>
        <v>42856</v>
      </c>
      <c r="B7" s="7">
        <v>8642361.0</v>
      </c>
      <c r="C7" s="8"/>
    </row>
    <row r="8">
      <c r="A8" s="6">
        <f t="shared" si="1"/>
        <v>42887</v>
      </c>
      <c r="B8" s="7">
        <v>8751773.0</v>
      </c>
      <c r="C8" s="8"/>
    </row>
    <row r="9">
      <c r="A9" s="6">
        <f t="shared" si="1"/>
        <v>42917</v>
      </c>
      <c r="B9" s="7">
        <v>8542983.0</v>
      </c>
      <c r="C9" s="8"/>
    </row>
    <row r="10">
      <c r="A10" s="6">
        <f t="shared" si="1"/>
        <v>42948</v>
      </c>
      <c r="B10" s="7">
        <v>7273917.0</v>
      </c>
      <c r="C10" s="8"/>
    </row>
    <row r="11">
      <c r="A11" s="6">
        <f t="shared" si="1"/>
        <v>42979</v>
      </c>
      <c r="B11" s="7">
        <v>8685435.0</v>
      </c>
      <c r="C11" s="8"/>
    </row>
    <row r="12">
      <c r="A12" s="6">
        <f t="shared" si="1"/>
        <v>43009</v>
      </c>
      <c r="B12" s="7">
        <v>697051.0</v>
      </c>
      <c r="C12" s="8"/>
    </row>
    <row r="13">
      <c r="A13" s="6">
        <f t="shared" si="1"/>
        <v>43040</v>
      </c>
      <c r="B13" s="7">
        <v>697985.0</v>
      </c>
      <c r="C13" s="8"/>
    </row>
    <row r="14">
      <c r="A14" s="6">
        <f t="shared" si="1"/>
        <v>43070</v>
      </c>
      <c r="B14" s="7">
        <v>8435776.0</v>
      </c>
      <c r="C14" s="8"/>
    </row>
    <row r="15">
      <c r="A15" s="6">
        <f t="shared" si="1"/>
        <v>43101</v>
      </c>
      <c r="B15" s="7">
        <v>835048.0</v>
      </c>
      <c r="C15" s="8"/>
    </row>
    <row r="16">
      <c r="A16" s="6">
        <f t="shared" si="1"/>
        <v>43132</v>
      </c>
      <c r="B16" s="7">
        <v>8473568.0</v>
      </c>
      <c r="C16" s="8"/>
    </row>
    <row r="17">
      <c r="A17" s="6">
        <f t="shared" si="1"/>
        <v>43160</v>
      </c>
      <c r="B17" s="7">
        <v>9003749.0</v>
      </c>
      <c r="C17" s="8"/>
    </row>
    <row r="18">
      <c r="A18" s="6">
        <f t="shared" si="1"/>
        <v>43191</v>
      </c>
      <c r="B18" s="7">
        <v>8578978.0</v>
      </c>
      <c r="C18" s="8"/>
    </row>
    <row r="19">
      <c r="A19" s="6">
        <f t="shared" si="1"/>
        <v>43221</v>
      </c>
      <c r="B19" s="7">
        <v>1.0075186E7</v>
      </c>
      <c r="C19" s="8"/>
    </row>
    <row r="20">
      <c r="A20" s="6">
        <f t="shared" si="1"/>
        <v>43252</v>
      </c>
      <c r="B20" s="7">
        <v>1.0642088E7</v>
      </c>
      <c r="C20" s="8"/>
    </row>
    <row r="21">
      <c r="A21" s="6">
        <f t="shared" si="1"/>
        <v>43282</v>
      </c>
      <c r="B21" s="7">
        <v>8624108.0</v>
      </c>
      <c r="C21" s="8"/>
    </row>
    <row r="22">
      <c r="A22" s="6">
        <f t="shared" si="1"/>
        <v>43313</v>
      </c>
      <c r="B22" s="7">
        <v>8483311.0</v>
      </c>
      <c r="C22" s="8"/>
      <c r="E22" s="9"/>
    </row>
    <row r="23">
      <c r="A23" s="6">
        <f t="shared" si="1"/>
        <v>43344</v>
      </c>
      <c r="B23" s="7">
        <v>7928988.0</v>
      </c>
      <c r="C23" s="8"/>
    </row>
    <row r="24">
      <c r="A24" s="6">
        <f t="shared" si="1"/>
        <v>43374</v>
      </c>
      <c r="B24" s="7">
        <v>7768409.0</v>
      </c>
      <c r="C24" s="8"/>
    </row>
    <row r="25">
      <c r="A25" s="6">
        <f t="shared" si="1"/>
        <v>43405</v>
      </c>
      <c r="B25" s="7">
        <v>784402.0</v>
      </c>
      <c r="C25" s="8"/>
    </row>
    <row r="26">
      <c r="A26" s="6">
        <f t="shared" si="1"/>
        <v>43435</v>
      </c>
      <c r="B26" s="7">
        <v>8704173.0</v>
      </c>
      <c r="C26" s="8"/>
    </row>
    <row r="27">
      <c r="A27" s="6">
        <f t="shared" si="1"/>
        <v>43466</v>
      </c>
      <c r="B27" s="7">
        <v>8469652.0</v>
      </c>
      <c r="C27" s="8"/>
    </row>
    <row r="28">
      <c r="A28" s="6">
        <f t="shared" si="1"/>
        <v>43497</v>
      </c>
      <c r="B28" s="7">
        <v>8780865.0</v>
      </c>
      <c r="C28" s="8"/>
    </row>
    <row r="29">
      <c r="A29" s="6">
        <f t="shared" si="1"/>
        <v>43525</v>
      </c>
      <c r="B29" s="7">
        <v>1.0266433E7</v>
      </c>
      <c r="C29" s="8"/>
    </row>
    <row r="30">
      <c r="A30" s="6">
        <f t="shared" si="1"/>
        <v>43556</v>
      </c>
      <c r="B30" s="7">
        <v>1.1230181E7</v>
      </c>
      <c r="C30" s="8"/>
    </row>
    <row r="31">
      <c r="A31" s="6">
        <f t="shared" si="1"/>
        <v>43586</v>
      </c>
      <c r="B31" s="7">
        <v>1.0084191E7</v>
      </c>
      <c r="C31" s="8"/>
    </row>
    <row r="32">
      <c r="A32" s="6">
        <f t="shared" si="1"/>
        <v>43617</v>
      </c>
      <c r="B32" s="7">
        <v>9948942.0</v>
      </c>
      <c r="C32" s="8"/>
    </row>
    <row r="33">
      <c r="A33" s="6">
        <f t="shared" si="1"/>
        <v>43647</v>
      </c>
      <c r="B33" s="7">
        <v>9165511.0</v>
      </c>
      <c r="C33" s="8"/>
    </row>
    <row r="34">
      <c r="A34" s="6">
        <f t="shared" si="1"/>
        <v>43678</v>
      </c>
      <c r="B34" s="7">
        <v>8991775.0</v>
      </c>
      <c r="C34" s="8"/>
    </row>
    <row r="35">
      <c r="A35" s="6">
        <f t="shared" si="1"/>
        <v>43709</v>
      </c>
      <c r="B35" s="7">
        <v>9116519.0</v>
      </c>
      <c r="C35" s="8"/>
    </row>
    <row r="36">
      <c r="A36" s="6">
        <f t="shared" si="1"/>
        <v>43739</v>
      </c>
      <c r="B36" s="7">
        <v>9898888.0</v>
      </c>
      <c r="C36" s="8"/>
    </row>
    <row r="37">
      <c r="A37" s="6">
        <f t="shared" si="1"/>
        <v>43770</v>
      </c>
      <c r="B37" s="7">
        <v>1.0227741E7</v>
      </c>
      <c r="C37" s="8"/>
    </row>
    <row r="38">
      <c r="A38" s="6">
        <f t="shared" si="1"/>
        <v>43800</v>
      </c>
      <c r="B38" s="7">
        <v>1.1510301E7</v>
      </c>
      <c r="C38" s="8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  <c r="I57" s="11" t="s">
        <v>3</v>
      </c>
    </row>
    <row r="58">
      <c r="A58" s="10"/>
      <c r="I58" s="11" t="s">
        <v>4</v>
      </c>
    </row>
    <row r="59">
      <c r="A59" s="10"/>
      <c r="I59" s="11" t="s">
        <v>5</v>
      </c>
      <c r="J59" s="11">
        <v>37.0</v>
      </c>
    </row>
    <row r="60">
      <c r="A60" s="10"/>
    </row>
    <row r="61">
      <c r="A61" s="10"/>
    </row>
    <row r="62">
      <c r="A62" s="10"/>
      <c r="I62" s="12">
        <f> 3133*37 + 1.27*10^8</f>
        <v>127115921</v>
      </c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